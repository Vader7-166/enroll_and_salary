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Cham C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0"/>
    </font>
    <font>
      <name val="Calibri"/>
      <b val="1"/>
      <sz val="9"/>
    </font>
    <font>
      <name val="Calibri"/>
      <i val="1"/>
      <sz val="9"/>
    </font>
    <font>
      <name val="Calibri"/>
      <b val="1"/>
      <color rgb="00FFFFFF"/>
      <sz val="9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2F5496"/>
        <bgColor rgb="002F5496"/>
      </patternFill>
    </fill>
    <fill>
      <patternFill patternType="solid">
        <fgColor rgb="00F9F9F9"/>
        <bgColor rgb="00F9F9F9"/>
      </patternFill>
    </fill>
    <fill>
      <patternFill patternType="solid">
        <fgColor rgb="00F2DCDB"/>
        <bgColor rgb="00F2DCDB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BẢNG CHẤM CÔNG THÁNG TỰ ĐỘNG - KHỐI SẢN XUẤT ĐIỆN TỬ</t>
        </is>
      </c>
      <c r="AM1" s="2" t="inlineStr">
        <is>
          <t>Ký hiệu công:</t>
        </is>
      </c>
      <c r="AN1" s="3" t="inlineStr">
        <is>
          <t>X: Đi làm ca ngày</t>
        </is>
      </c>
      <c r="AO1" s="3" t="inlineStr">
        <is>
          <t>Đ: Đi làm ca đêm (22h-6h)</t>
        </is>
      </c>
      <c r="AP1" s="3" t="inlineStr">
        <is>
          <t>Ph: Nghỉ phép năm</t>
        </is>
      </c>
      <c r="AQ1" s="3" t="inlineStr">
        <is>
          <t>L: Nghỉ lễ hưởng nguyên lương</t>
        </is>
      </c>
      <c r="AR1" s="3" t="inlineStr">
        <is>
          <t>Kl: Nghỉ không lương</t>
        </is>
      </c>
    </row>
    <row r="2">
      <c r="A2" s="4" t="inlineStr">
        <is>
          <t>Căn cứ theo Điều 105 Bộ luật Lao động 2019 &amp; Thông tư 200/2014/TT-BTC - Cập nhật năm 2026</t>
        </is>
      </c>
    </row>
    <row r="4" ht="30" customHeight="1">
      <c r="A4" s="5" t="inlineStr">
        <is>
          <t>Mã NV</t>
        </is>
      </c>
      <c r="B4" s="5" t="inlineStr">
        <is>
          <t>Họ và tên</t>
        </is>
      </c>
      <c r="C4" s="5" t="inlineStr">
        <is>
          <t>Chức vụ</t>
        </is>
      </c>
      <c r="D4" s="5" t="inlineStr">
        <is>
          <t>Phòng ban</t>
        </is>
      </c>
      <c r="E4" s="5" t="inlineStr">
        <is>
          <t>1</t>
        </is>
      </c>
      <c r="F4" s="5" t="inlineStr">
        <is>
          <t>2</t>
        </is>
      </c>
      <c r="G4" s="5" t="inlineStr">
        <is>
          <t>3</t>
        </is>
      </c>
      <c r="H4" s="5" t="inlineStr">
        <is>
          <t>4</t>
        </is>
      </c>
      <c r="I4" s="5" t="inlineStr">
        <is>
          <t>5</t>
        </is>
      </c>
      <c r="J4" s="5" t="inlineStr">
        <is>
          <t>6</t>
        </is>
      </c>
      <c r="K4" s="5" t="inlineStr">
        <is>
          <t>7</t>
        </is>
      </c>
      <c r="L4" s="5" t="inlineStr">
        <is>
          <t>8</t>
        </is>
      </c>
      <c r="M4" s="5" t="inlineStr">
        <is>
          <t>9</t>
        </is>
      </c>
      <c r="N4" s="5" t="inlineStr">
        <is>
          <t>10</t>
        </is>
      </c>
      <c r="O4" s="5" t="inlineStr">
        <is>
          <t>11</t>
        </is>
      </c>
      <c r="P4" s="5" t="inlineStr">
        <is>
          <t>12</t>
        </is>
      </c>
      <c r="Q4" s="5" t="inlineStr">
        <is>
          <t>13</t>
        </is>
      </c>
      <c r="R4" s="5" t="inlineStr">
        <is>
          <t>14</t>
        </is>
      </c>
      <c r="S4" s="5" t="inlineStr">
        <is>
          <t>15</t>
        </is>
      </c>
      <c r="T4" s="5" t="inlineStr">
        <is>
          <t>16</t>
        </is>
      </c>
      <c r="U4" s="5" t="inlineStr">
        <is>
          <t>17</t>
        </is>
      </c>
      <c r="V4" s="5" t="inlineStr">
        <is>
          <t>18</t>
        </is>
      </c>
      <c r="W4" s="5" t="inlineStr">
        <is>
          <t>19</t>
        </is>
      </c>
      <c r="X4" s="5" t="inlineStr">
        <is>
          <t>20</t>
        </is>
      </c>
      <c r="Y4" s="5" t="inlineStr">
        <is>
          <t>21</t>
        </is>
      </c>
      <c r="Z4" s="5" t="inlineStr">
        <is>
          <t>22</t>
        </is>
      </c>
      <c r="AA4" s="5" t="inlineStr">
        <is>
          <t>23</t>
        </is>
      </c>
      <c r="AB4" s="5" t="inlineStr">
        <is>
          <t>24</t>
        </is>
      </c>
      <c r="AC4" s="5" t="inlineStr">
        <is>
          <t>25</t>
        </is>
      </c>
      <c r="AD4" s="5" t="inlineStr">
        <is>
          <t>26</t>
        </is>
      </c>
      <c r="AE4" s="5" t="inlineStr">
        <is>
          <t>27</t>
        </is>
      </c>
      <c r="AF4" s="5" t="inlineStr">
        <is>
          <t>28</t>
        </is>
      </c>
      <c r="AG4" s="5" t="inlineStr">
        <is>
          <t>29</t>
        </is>
      </c>
      <c r="AH4" s="5" t="inlineStr">
        <is>
          <t>30</t>
        </is>
      </c>
      <c r="AI4" s="5" t="inlineStr">
        <is>
          <t>31</t>
        </is>
      </c>
      <c r="AJ4" s="5" t="inlineStr">
        <is>
          <t>Công Ngày (X)</t>
        </is>
      </c>
      <c r="AK4" s="5" t="inlineStr">
        <is>
          <t>Công Đêm (Đ)</t>
        </is>
      </c>
      <c r="AL4" s="5" t="inlineStr">
        <is>
          <t>Phép (Ph)</t>
        </is>
      </c>
      <c r="AM4" s="5" t="inlineStr">
        <is>
          <t>Nghỉ Lễ (L)</t>
        </is>
      </c>
      <c r="AN4" s="5" t="inlineStr">
        <is>
          <t>Không Lương</t>
        </is>
      </c>
      <c r="AO4" s="5" t="inlineStr">
        <is>
          <t>Số Giờ TC</t>
        </is>
      </c>
      <c r="AP4" s="5" t="inlineStr">
        <is>
          <t>Số Giờ TCĐ</t>
        </is>
      </c>
      <c r="AQ4" s="5" t="inlineStr">
        <is>
          <t>Quy đổi công</t>
        </is>
      </c>
    </row>
    <row r="5" ht="20" customHeight="1">
      <c r="A5" s="6" t="inlineStr">
        <is>
          <t>NV001</t>
        </is>
      </c>
      <c r="B5" s="6" t="inlineStr">
        <is>
          <t>Nguyễn Văn A</t>
        </is>
      </c>
      <c r="C5" s="6" t="inlineStr">
        <is>
          <t>Kỹ sư R&amp;D</t>
        </is>
      </c>
      <c r="D5" s="6" t="inlineStr">
        <is>
          <t>Phòng R&amp;D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inlineStr">
        <is>
          <t>X</t>
        </is>
      </c>
      <c r="I5" s="7" t="inlineStr">
        <is>
          <t>X</t>
        </is>
      </c>
      <c r="J5" s="8" t="inlineStr">
        <is>
          <t>F</t>
        </is>
      </c>
      <c r="K5" s="8" t="inlineStr">
        <is>
          <t>F</t>
        </is>
      </c>
      <c r="L5" s="7" t="inlineStr">
        <is>
          <t>X</t>
        </is>
      </c>
      <c r="M5" s="7" t="inlineStr">
        <is>
          <t>X</t>
        </is>
      </c>
      <c r="N5" s="7" t="inlineStr">
        <is>
          <t>X</t>
        </is>
      </c>
      <c r="O5" s="7" t="inlineStr">
        <is>
          <t>X</t>
        </is>
      </c>
      <c r="P5" s="7" t="inlineStr">
        <is>
          <t>X</t>
        </is>
      </c>
      <c r="Q5" s="8" t="inlineStr">
        <is>
          <t>F</t>
        </is>
      </c>
      <c r="R5" s="8" t="inlineStr">
        <is>
          <t>F</t>
        </is>
      </c>
      <c r="S5" s="7" t="inlineStr">
        <is>
          <t>Ph</t>
        </is>
      </c>
      <c r="T5" s="7" t="inlineStr">
        <is>
          <t>Ph</t>
        </is>
      </c>
      <c r="U5" s="7" t="inlineStr">
        <is>
          <t>X</t>
        </is>
      </c>
      <c r="V5" s="7" t="inlineStr">
        <is>
          <t>X</t>
        </is>
      </c>
      <c r="W5" s="7" t="inlineStr">
        <is>
          <t>X</t>
        </is>
      </c>
      <c r="X5" s="8" t="inlineStr">
        <is>
          <t>F</t>
        </is>
      </c>
      <c r="Y5" s="8" t="inlineStr">
        <is>
          <t>F</t>
        </is>
      </c>
      <c r="Z5" s="7" t="inlineStr">
        <is>
          <t>X</t>
        </is>
      </c>
      <c r="AA5" s="7" t="inlineStr">
        <is>
          <t>X</t>
        </is>
      </c>
      <c r="AB5" s="7" t="inlineStr">
        <is>
          <t>X</t>
        </is>
      </c>
      <c r="AC5" s="7" t="inlineStr">
        <is>
          <t>X</t>
        </is>
      </c>
      <c r="AD5" s="7" t="inlineStr">
        <is>
          <t>X</t>
        </is>
      </c>
      <c r="AE5" s="8" t="inlineStr">
        <is>
          <t>F</t>
        </is>
      </c>
      <c r="AF5" s="8" t="inlineStr">
        <is>
          <t>F</t>
        </is>
      </c>
      <c r="AG5" s="7" t="inlineStr">
        <is>
          <t>X</t>
        </is>
      </c>
      <c r="AH5" s="7" t="inlineStr">
        <is>
          <t>X</t>
        </is>
      </c>
      <c r="AI5" s="7" t="inlineStr">
        <is>
          <t>X</t>
        </is>
      </c>
      <c r="AJ5" s="7">
        <f>COUNTIF(E5:AI5, "X")</f>
        <v/>
      </c>
      <c r="AK5" s="7">
        <f>COUNTIF(E5:AI5, "Đ")</f>
        <v/>
      </c>
      <c r="AL5" s="7">
        <f>COUNTIF(E5:AI5, "Ph")</f>
        <v/>
      </c>
      <c r="AM5" s="7">
        <f>COUNTIF(E5:AI5, "L")</f>
        <v/>
      </c>
      <c r="AN5" s="7">
        <f>COUNTIF(E5:AI5, "Kl")</f>
        <v/>
      </c>
      <c r="AO5" s="9" t="n">
        <v>0</v>
      </c>
      <c r="AP5" s="9" t="n">
        <v>2</v>
      </c>
      <c r="AQ5" s="10">
        <f>AJ5+AK5+AL5+AM5</f>
        <v/>
      </c>
    </row>
    <row r="6" ht="20" customHeight="1">
      <c r="A6" s="6" t="inlineStr">
        <is>
          <t>NV002</t>
        </is>
      </c>
      <c r="B6" s="6" t="inlineStr">
        <is>
          <t>Trần Thị B</t>
        </is>
      </c>
      <c r="C6" s="6" t="inlineStr">
        <is>
          <t>Công nhân</t>
        </is>
      </c>
      <c r="D6" s="6" t="inlineStr">
        <is>
          <t>Tổ sản xuất A</t>
        </is>
      </c>
      <c r="E6" s="11" t="inlineStr">
        <is>
          <t>X</t>
        </is>
      </c>
      <c r="F6" s="11" t="inlineStr">
        <is>
          <t>X</t>
        </is>
      </c>
      <c r="G6" s="11" t="inlineStr">
        <is>
          <t>X</t>
        </is>
      </c>
      <c r="H6" s="11" t="inlineStr">
        <is>
          <t>X</t>
        </is>
      </c>
      <c r="I6" s="11" t="inlineStr">
        <is>
          <t>X</t>
        </is>
      </c>
      <c r="J6" s="8" t="inlineStr">
        <is>
          <t>F</t>
        </is>
      </c>
      <c r="K6" s="8" t="inlineStr">
        <is>
          <t>F</t>
        </is>
      </c>
      <c r="L6" s="11" t="inlineStr">
        <is>
          <t>Đ</t>
        </is>
      </c>
      <c r="M6" s="11" t="inlineStr">
        <is>
          <t>Đ</t>
        </is>
      </c>
      <c r="N6" s="11" t="inlineStr">
        <is>
          <t>Đ</t>
        </is>
      </c>
      <c r="O6" s="11" t="inlineStr">
        <is>
          <t>Đ</t>
        </is>
      </c>
      <c r="P6" s="11" t="inlineStr">
        <is>
          <t>Đ</t>
        </is>
      </c>
      <c r="Q6" s="8" t="inlineStr">
        <is>
          <t>F</t>
        </is>
      </c>
      <c r="R6" s="8" t="inlineStr">
        <is>
          <t>F</t>
        </is>
      </c>
      <c r="S6" s="11" t="inlineStr">
        <is>
          <t>X</t>
        </is>
      </c>
      <c r="T6" s="11" t="inlineStr">
        <is>
          <t>X</t>
        </is>
      </c>
      <c r="U6" s="11" t="inlineStr">
        <is>
          <t>X</t>
        </is>
      </c>
      <c r="V6" s="11" t="inlineStr">
        <is>
          <t>X</t>
        </is>
      </c>
      <c r="W6" s="11" t="inlineStr">
        <is>
          <t>X</t>
        </is>
      </c>
      <c r="X6" s="8" t="inlineStr">
        <is>
          <t>F</t>
        </is>
      </c>
      <c r="Y6" s="8" t="inlineStr">
        <is>
          <t>F</t>
        </is>
      </c>
      <c r="Z6" s="11" t="inlineStr">
        <is>
          <t>Đ</t>
        </is>
      </c>
      <c r="AA6" s="11" t="inlineStr">
        <is>
          <t>Đ</t>
        </is>
      </c>
      <c r="AB6" s="11" t="inlineStr">
        <is>
          <t>Đ</t>
        </is>
      </c>
      <c r="AC6" s="11" t="inlineStr">
        <is>
          <t>Đ</t>
        </is>
      </c>
      <c r="AD6" s="11" t="inlineStr">
        <is>
          <t>Đ</t>
        </is>
      </c>
      <c r="AE6" s="8" t="inlineStr">
        <is>
          <t>F</t>
        </is>
      </c>
      <c r="AF6" s="8" t="inlineStr">
        <is>
          <t>F</t>
        </is>
      </c>
      <c r="AG6" s="11" t="inlineStr">
        <is>
          <t>X</t>
        </is>
      </c>
      <c r="AH6" s="11" t="inlineStr">
        <is>
          <t>X</t>
        </is>
      </c>
      <c r="AI6" s="11" t="inlineStr">
        <is>
          <t>X</t>
        </is>
      </c>
      <c r="AJ6" s="11">
        <f>COUNTIF(E6:AI6, "X")</f>
        <v/>
      </c>
      <c r="AK6" s="11">
        <f>COUNTIF(E6:AI6, "Đ")</f>
        <v/>
      </c>
      <c r="AL6" s="11">
        <f>COUNTIF(E6:AI6, "Ph")</f>
        <v/>
      </c>
      <c r="AM6" s="11">
        <f>COUNTIF(E6:AI6, "L")</f>
        <v/>
      </c>
      <c r="AN6" s="11">
        <f>COUNTIF(E6:AI6, "Kl")</f>
        <v/>
      </c>
      <c r="AO6" s="12" t="n">
        <v>4.5</v>
      </c>
      <c r="AP6" s="12" t="n">
        <v>0</v>
      </c>
      <c r="AQ6" s="13">
        <f>AJ6+AK6+AL6+AM6</f>
        <v/>
      </c>
    </row>
    <row r="7" ht="20" customHeight="1">
      <c r="A7" s="6" t="inlineStr">
        <is>
          <t>NV003</t>
        </is>
      </c>
      <c r="B7" s="6" t="inlineStr">
        <is>
          <t>Phạm Văn C</t>
        </is>
      </c>
      <c r="C7" s="6" t="inlineStr">
        <is>
          <t>Kỹ thuật viên</t>
        </is>
      </c>
      <c r="D7" s="6" t="inlineStr">
        <is>
          <t>Tổ SMT</t>
        </is>
      </c>
      <c r="E7" s="7" t="inlineStr">
        <is>
          <t>Đ</t>
        </is>
      </c>
      <c r="F7" s="7" t="inlineStr">
        <is>
          <t>Đ</t>
        </is>
      </c>
      <c r="G7" s="7" t="inlineStr">
        <is>
          <t>Đ</t>
        </is>
      </c>
      <c r="H7" s="7" t="inlineStr">
        <is>
          <t>Đ</t>
        </is>
      </c>
      <c r="I7" s="7" t="inlineStr">
        <is>
          <t>Đ</t>
        </is>
      </c>
      <c r="J7" s="8" t="inlineStr">
        <is>
          <t>F</t>
        </is>
      </c>
      <c r="K7" s="8" t="inlineStr">
        <is>
          <t>F</t>
        </is>
      </c>
      <c r="L7" s="7" t="inlineStr">
        <is>
          <t>X</t>
        </is>
      </c>
      <c r="M7" s="7" t="inlineStr">
        <is>
          <t>X</t>
        </is>
      </c>
      <c r="N7" s="7" t="inlineStr">
        <is>
          <t>X</t>
        </is>
      </c>
      <c r="O7" s="7" t="inlineStr">
        <is>
          <t>X</t>
        </is>
      </c>
      <c r="P7" s="7" t="inlineStr">
        <is>
          <t>X</t>
        </is>
      </c>
      <c r="Q7" s="8" t="inlineStr">
        <is>
          <t>F</t>
        </is>
      </c>
      <c r="R7" s="8" t="inlineStr">
        <is>
          <t>F</t>
        </is>
      </c>
      <c r="S7" s="7" t="inlineStr">
        <is>
          <t>Đ</t>
        </is>
      </c>
      <c r="T7" s="7" t="inlineStr">
        <is>
          <t>Đ</t>
        </is>
      </c>
      <c r="U7" s="7" t="inlineStr">
        <is>
          <t>Đ</t>
        </is>
      </c>
      <c r="V7" s="7" t="inlineStr">
        <is>
          <t>Đ</t>
        </is>
      </c>
      <c r="W7" s="7" t="inlineStr">
        <is>
          <t>Đ</t>
        </is>
      </c>
      <c r="X7" s="8" t="inlineStr">
        <is>
          <t>F</t>
        </is>
      </c>
      <c r="Y7" s="8" t="inlineStr">
        <is>
          <t>F</t>
        </is>
      </c>
      <c r="Z7" s="7" t="inlineStr">
        <is>
          <t>X</t>
        </is>
      </c>
      <c r="AA7" s="7" t="inlineStr">
        <is>
          <t>X</t>
        </is>
      </c>
      <c r="AB7" s="7" t="inlineStr">
        <is>
          <t>X</t>
        </is>
      </c>
      <c r="AC7" s="7" t="inlineStr">
        <is>
          <t>X</t>
        </is>
      </c>
      <c r="AD7" s="7" t="inlineStr">
        <is>
          <t>X</t>
        </is>
      </c>
      <c r="AE7" s="8" t="inlineStr">
        <is>
          <t>F</t>
        </is>
      </c>
      <c r="AF7" s="8" t="inlineStr">
        <is>
          <t>F</t>
        </is>
      </c>
      <c r="AG7" s="7" t="inlineStr">
        <is>
          <t>Kl</t>
        </is>
      </c>
      <c r="AH7" s="7" t="inlineStr">
        <is>
          <t>Kl</t>
        </is>
      </c>
      <c r="AI7" s="7" t="inlineStr">
        <is>
          <t>Kl</t>
        </is>
      </c>
      <c r="AJ7" s="7">
        <f>COUNTIF(E7:AI7, "X")</f>
        <v/>
      </c>
      <c r="AK7" s="7">
        <f>COUNTIF(E7:AI7, "Đ")</f>
        <v/>
      </c>
      <c r="AL7" s="7">
        <f>COUNTIF(E7:AI7, "Ph")</f>
        <v/>
      </c>
      <c r="AM7" s="7">
        <f>COUNTIF(E7:AI7, "L")</f>
        <v/>
      </c>
      <c r="AN7" s="7">
        <f>COUNTIF(E7:AI7, "Kl")</f>
        <v/>
      </c>
      <c r="AO7" s="9" t="n">
        <v>0</v>
      </c>
      <c r="AP7" s="9" t="n">
        <v>2</v>
      </c>
      <c r="AQ7" s="10">
        <f>AJ7+AK7+AL7+AM7</f>
        <v/>
      </c>
    </row>
    <row r="8" ht="20" customHeight="1">
      <c r="A8" s="6" t="inlineStr">
        <is>
          <t>NV004</t>
        </is>
      </c>
      <c r="B8" s="6" t="inlineStr">
        <is>
          <t>Lê Văn D</t>
        </is>
      </c>
      <c r="C8" s="6" t="inlineStr">
        <is>
          <t>Trưởng nhóm</t>
        </is>
      </c>
      <c r="D8" s="6" t="inlineStr">
        <is>
          <t>Phòng Sản xuất</t>
        </is>
      </c>
      <c r="E8" s="11" t="inlineStr">
        <is>
          <t>X</t>
        </is>
      </c>
      <c r="F8" s="11" t="inlineStr">
        <is>
          <t>X</t>
        </is>
      </c>
      <c r="G8" s="11" t="inlineStr">
        <is>
          <t>X</t>
        </is>
      </c>
      <c r="H8" s="11" t="inlineStr">
        <is>
          <t>X</t>
        </is>
      </c>
      <c r="I8" s="11" t="inlineStr">
        <is>
          <t>X</t>
        </is>
      </c>
      <c r="J8" s="8" t="inlineStr">
        <is>
          <t>F</t>
        </is>
      </c>
      <c r="K8" s="8" t="inlineStr">
        <is>
          <t>F</t>
        </is>
      </c>
      <c r="L8" s="11" t="inlineStr">
        <is>
          <t>X</t>
        </is>
      </c>
      <c r="M8" s="11" t="inlineStr">
        <is>
          <t>X</t>
        </is>
      </c>
      <c r="N8" s="11" t="inlineStr">
        <is>
          <t>X</t>
        </is>
      </c>
      <c r="O8" s="11" t="inlineStr">
        <is>
          <t>X</t>
        </is>
      </c>
      <c r="P8" s="11" t="inlineStr">
        <is>
          <t>X</t>
        </is>
      </c>
      <c r="Q8" s="8" t="inlineStr">
        <is>
          <t>F</t>
        </is>
      </c>
      <c r="R8" s="8" t="inlineStr">
        <is>
          <t>F</t>
        </is>
      </c>
      <c r="S8" s="11" t="inlineStr">
        <is>
          <t>X</t>
        </is>
      </c>
      <c r="T8" s="11" t="inlineStr">
        <is>
          <t>X</t>
        </is>
      </c>
      <c r="U8" s="11" t="inlineStr">
        <is>
          <t>X</t>
        </is>
      </c>
      <c r="V8" s="11" t="inlineStr">
        <is>
          <t>X</t>
        </is>
      </c>
      <c r="W8" s="11" t="inlineStr">
        <is>
          <t>X</t>
        </is>
      </c>
      <c r="X8" s="8" t="inlineStr">
        <is>
          <t>F</t>
        </is>
      </c>
      <c r="Y8" s="8" t="inlineStr">
        <is>
          <t>F</t>
        </is>
      </c>
      <c r="Z8" s="11" t="inlineStr">
        <is>
          <t>X</t>
        </is>
      </c>
      <c r="AA8" s="11" t="inlineStr">
        <is>
          <t>X</t>
        </is>
      </c>
      <c r="AB8" s="11" t="inlineStr">
        <is>
          <t>X</t>
        </is>
      </c>
      <c r="AC8" s="11" t="inlineStr">
        <is>
          <t>X</t>
        </is>
      </c>
      <c r="AD8" s="11" t="inlineStr">
        <is>
          <t>X</t>
        </is>
      </c>
      <c r="AE8" s="8" t="inlineStr">
        <is>
          <t>F</t>
        </is>
      </c>
      <c r="AF8" s="8" t="inlineStr">
        <is>
          <t>F</t>
        </is>
      </c>
      <c r="AG8" s="11" t="inlineStr">
        <is>
          <t>X</t>
        </is>
      </c>
      <c r="AH8" s="11" t="inlineStr">
        <is>
          <t>X</t>
        </is>
      </c>
      <c r="AI8" s="11" t="inlineStr">
        <is>
          <t>X</t>
        </is>
      </c>
      <c r="AJ8" s="11">
        <f>COUNTIF(E8:AI8, "X")</f>
        <v/>
      </c>
      <c r="AK8" s="11">
        <f>COUNTIF(E8:AI8, "Đ")</f>
        <v/>
      </c>
      <c r="AL8" s="11">
        <f>COUNTIF(E8:AI8, "Ph")</f>
        <v/>
      </c>
      <c r="AM8" s="11">
        <f>COUNTIF(E8:AI8, "L")</f>
        <v/>
      </c>
      <c r="AN8" s="11">
        <f>COUNTIF(E8:AI8, "Kl")</f>
        <v/>
      </c>
      <c r="AO8" s="12" t="n">
        <v>4.5</v>
      </c>
      <c r="AP8" s="12" t="n">
        <v>0</v>
      </c>
      <c r="AQ8" s="13">
        <f>AJ8+AK8+AL8+AM8</f>
        <v/>
      </c>
    </row>
    <row r="9" ht="20" customHeight="1">
      <c r="A9" s="6" t="inlineStr">
        <is>
          <t>NV005</t>
        </is>
      </c>
      <c r="B9" s="6" t="inlineStr">
        <is>
          <t>Vũ Thị E</t>
        </is>
      </c>
      <c r="C9" s="6" t="inlineStr">
        <is>
          <t>Công nhân</t>
        </is>
      </c>
      <c r="D9" s="6" t="inlineStr">
        <is>
          <t>Tổ Đóng gói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7" t="inlineStr">
        <is>
          <t>X</t>
        </is>
      </c>
      <c r="J9" s="8" t="inlineStr">
        <is>
          <t>F</t>
        </is>
      </c>
      <c r="K9" s="8" t="inlineStr">
        <is>
          <t>F</t>
        </is>
      </c>
      <c r="L9" s="7" t="inlineStr">
        <is>
          <t>X</t>
        </is>
      </c>
      <c r="M9" s="7" t="inlineStr">
        <is>
          <t>X</t>
        </is>
      </c>
      <c r="N9" s="7" t="inlineStr">
        <is>
          <t>X</t>
        </is>
      </c>
      <c r="O9" s="7" t="inlineStr">
        <is>
          <t>X</t>
        </is>
      </c>
      <c r="P9" s="7" t="inlineStr">
        <is>
          <t>X</t>
        </is>
      </c>
      <c r="Q9" s="8" t="inlineStr">
        <is>
          <t>F</t>
        </is>
      </c>
      <c r="R9" s="8" t="inlineStr">
        <is>
          <t>F</t>
        </is>
      </c>
      <c r="S9" s="7" t="inlineStr">
        <is>
          <t>Kl</t>
        </is>
      </c>
      <c r="T9" s="7" t="inlineStr">
        <is>
          <t>Kl</t>
        </is>
      </c>
      <c r="U9" s="7" t="inlineStr">
        <is>
          <t>X</t>
        </is>
      </c>
      <c r="V9" s="7" t="inlineStr">
        <is>
          <t>X</t>
        </is>
      </c>
      <c r="W9" s="7" t="inlineStr">
        <is>
          <t>X</t>
        </is>
      </c>
      <c r="X9" s="8" t="inlineStr">
        <is>
          <t>F</t>
        </is>
      </c>
      <c r="Y9" s="8" t="inlineStr">
        <is>
          <t>F</t>
        </is>
      </c>
      <c r="Z9" s="7" t="inlineStr">
        <is>
          <t>X</t>
        </is>
      </c>
      <c r="AA9" s="7" t="inlineStr">
        <is>
          <t>X</t>
        </is>
      </c>
      <c r="AB9" s="7" t="inlineStr">
        <is>
          <t>X</t>
        </is>
      </c>
      <c r="AC9" s="7" t="inlineStr">
        <is>
          <t>X</t>
        </is>
      </c>
      <c r="AD9" s="7" t="inlineStr">
        <is>
          <t>X</t>
        </is>
      </c>
      <c r="AE9" s="8" t="inlineStr">
        <is>
          <t>F</t>
        </is>
      </c>
      <c r="AF9" s="8" t="inlineStr">
        <is>
          <t>F</t>
        </is>
      </c>
      <c r="AG9" s="7" t="inlineStr">
        <is>
          <t>X</t>
        </is>
      </c>
      <c r="AH9" s="7" t="inlineStr">
        <is>
          <t>X</t>
        </is>
      </c>
      <c r="AI9" s="7" t="inlineStr">
        <is>
          <t>X</t>
        </is>
      </c>
      <c r="AJ9" s="7">
        <f>COUNTIF(E9:AI9, "X")</f>
        <v/>
      </c>
      <c r="AK9" s="7">
        <f>COUNTIF(E9:AI9, "Đ")</f>
        <v/>
      </c>
      <c r="AL9" s="7">
        <f>COUNTIF(E9:AI9, "Ph")</f>
        <v/>
      </c>
      <c r="AM9" s="7">
        <f>COUNTIF(E9:AI9, "L")</f>
        <v/>
      </c>
      <c r="AN9" s="7">
        <f>COUNTIF(E9:AI9, "Kl")</f>
        <v/>
      </c>
      <c r="AO9" s="9" t="n">
        <v>0</v>
      </c>
      <c r="AP9" s="9" t="n">
        <v>2</v>
      </c>
      <c r="AQ9" s="10">
        <f>AJ9+AK9+AL9+AM9</f>
        <v/>
      </c>
    </row>
    <row r="10" ht="20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5">
        <f>COUNTIF(E10:AI10, "X")</f>
        <v/>
      </c>
      <c r="AK10" s="15">
        <f>COUNTIF(E10:AI10, "Đ")</f>
        <v/>
      </c>
      <c r="AL10" s="15">
        <f>COUNTIF(E10:AI10, "Ph")</f>
        <v/>
      </c>
      <c r="AM10" s="15">
        <f>COUNTIF(E10:AI10, "L")</f>
        <v/>
      </c>
      <c r="AN10" s="15">
        <f>COUNTIF(E10:AI10, "Kl")</f>
        <v/>
      </c>
      <c r="AO10" s="14" t="n"/>
      <c r="AP10" s="14" t="n"/>
      <c r="AQ10" s="16">
        <f>AJ10+AK10+AL10+AM10</f>
        <v/>
      </c>
    </row>
    <row r="11" ht="20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5">
        <f>COUNTIF(E11:AI11, "X")</f>
        <v/>
      </c>
      <c r="AK11" s="15">
        <f>COUNTIF(E11:AI11, "Đ")</f>
        <v/>
      </c>
      <c r="AL11" s="15">
        <f>COUNTIF(E11:AI11, "Ph")</f>
        <v/>
      </c>
      <c r="AM11" s="15">
        <f>COUNTIF(E11:AI11, "L")</f>
        <v/>
      </c>
      <c r="AN11" s="15">
        <f>COUNTIF(E11:AI11, "Kl")</f>
        <v/>
      </c>
      <c r="AO11" s="14" t="n"/>
      <c r="AP11" s="14" t="n"/>
      <c r="AQ11" s="16">
        <f>AJ11+AK11+AL11+AM11</f>
        <v/>
      </c>
    </row>
    <row r="12" ht="20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5">
        <f>COUNTIF(E12:AI12, "X")</f>
        <v/>
      </c>
      <c r="AK12" s="15">
        <f>COUNTIF(E12:AI12, "Đ")</f>
        <v/>
      </c>
      <c r="AL12" s="15">
        <f>COUNTIF(E12:AI12, "Ph")</f>
        <v/>
      </c>
      <c r="AM12" s="15">
        <f>COUNTIF(E12:AI12, "L")</f>
        <v/>
      </c>
      <c r="AN12" s="15">
        <f>COUNTIF(E12:AI12, "Kl")</f>
        <v/>
      </c>
      <c r="AO12" s="14" t="n"/>
      <c r="AP12" s="14" t="n"/>
      <c r="AQ12" s="16">
        <f>AJ12+AK12+AL12+AM12</f>
        <v/>
      </c>
    </row>
    <row r="13" ht="20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5">
        <f>COUNTIF(E13:AI13, "X")</f>
        <v/>
      </c>
      <c r="AK13" s="15">
        <f>COUNTIF(E13:AI13, "Đ")</f>
        <v/>
      </c>
      <c r="AL13" s="15">
        <f>COUNTIF(E13:AI13, "Ph")</f>
        <v/>
      </c>
      <c r="AM13" s="15">
        <f>COUNTIF(E13:AI13, "L")</f>
        <v/>
      </c>
      <c r="AN13" s="15">
        <f>COUNTIF(E13:AI13, "Kl")</f>
        <v/>
      </c>
      <c r="AO13" s="14" t="n"/>
      <c r="AP13" s="14" t="n"/>
      <c r="AQ13" s="16">
        <f>AJ13+AK13+AL13+AM13</f>
        <v/>
      </c>
    </row>
    <row r="14" ht="20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5">
        <f>COUNTIF(E14:AI14, "X")</f>
        <v/>
      </c>
      <c r="AK14" s="15">
        <f>COUNTIF(E14:AI14, "Đ")</f>
        <v/>
      </c>
      <c r="AL14" s="15">
        <f>COUNTIF(E14:AI14, "Ph")</f>
        <v/>
      </c>
      <c r="AM14" s="15">
        <f>COUNTIF(E14:AI14, "L")</f>
        <v/>
      </c>
      <c r="AN14" s="15">
        <f>COUNTIF(E14:AI14, "Kl")</f>
        <v/>
      </c>
      <c r="AO14" s="14" t="n"/>
      <c r="AP14" s="14" t="n"/>
      <c r="AQ14" s="16">
        <f>AJ14+AK14+AL14+AM14</f>
        <v/>
      </c>
    </row>
    <row r="15" ht="20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5">
        <f>COUNTIF(E15:AI15, "X")</f>
        <v/>
      </c>
      <c r="AK15" s="15">
        <f>COUNTIF(E15:AI15, "Đ")</f>
        <v/>
      </c>
      <c r="AL15" s="15">
        <f>COUNTIF(E15:AI15, "Ph")</f>
        <v/>
      </c>
      <c r="AM15" s="15">
        <f>COUNTIF(E15:AI15, "L")</f>
        <v/>
      </c>
      <c r="AN15" s="15">
        <f>COUNTIF(E15:AI15, "Kl")</f>
        <v/>
      </c>
      <c r="AO15" s="14" t="n"/>
      <c r="AP15" s="14" t="n"/>
      <c r="AQ15" s="16">
        <f>AJ15+AK15+AL15+AM15</f>
        <v/>
      </c>
    </row>
    <row r="16" ht="20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5">
        <f>COUNTIF(E16:AI16, "X")</f>
        <v/>
      </c>
      <c r="AK16" s="15">
        <f>COUNTIF(E16:AI16, "Đ")</f>
        <v/>
      </c>
      <c r="AL16" s="15">
        <f>COUNTIF(E16:AI16, "Ph")</f>
        <v/>
      </c>
      <c r="AM16" s="15">
        <f>COUNTIF(E16:AI16, "L")</f>
        <v/>
      </c>
      <c r="AN16" s="15">
        <f>COUNTIF(E16:AI16, "Kl")</f>
        <v/>
      </c>
      <c r="AO16" s="14" t="n"/>
      <c r="AP16" s="14" t="n"/>
      <c r="AQ16" s="16">
        <f>AJ16+AK16+AL16+AM16</f>
        <v/>
      </c>
    </row>
    <row r="17" ht="20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5">
        <f>COUNTIF(E17:AI17, "X")</f>
        <v/>
      </c>
      <c r="AK17" s="15">
        <f>COUNTIF(E17:AI17, "Đ")</f>
        <v/>
      </c>
      <c r="AL17" s="15">
        <f>COUNTIF(E17:AI17, "Ph")</f>
        <v/>
      </c>
      <c r="AM17" s="15">
        <f>COUNTIF(E17:AI17, "L")</f>
        <v/>
      </c>
      <c r="AN17" s="15">
        <f>COUNTIF(E17:AI17, "Kl")</f>
        <v/>
      </c>
      <c r="AO17" s="14" t="n"/>
      <c r="AP17" s="14" t="n"/>
      <c r="AQ17" s="16">
        <f>AJ17+AK17+AL17+AM17</f>
        <v/>
      </c>
    </row>
    <row r="18" ht="20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5">
        <f>COUNTIF(E18:AI18, "X")</f>
        <v/>
      </c>
      <c r="AK18" s="15">
        <f>COUNTIF(E18:AI18, "Đ")</f>
        <v/>
      </c>
      <c r="AL18" s="15">
        <f>COUNTIF(E18:AI18, "Ph")</f>
        <v/>
      </c>
      <c r="AM18" s="15">
        <f>COUNTIF(E18:AI18, "L")</f>
        <v/>
      </c>
      <c r="AN18" s="15">
        <f>COUNTIF(E18:AI18, "Kl")</f>
        <v/>
      </c>
      <c r="AO18" s="14" t="n"/>
      <c r="AP18" s="14" t="n"/>
      <c r="AQ18" s="16">
        <f>AJ18+AK18+AL18+AM18</f>
        <v/>
      </c>
    </row>
    <row r="19" ht="20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5">
        <f>COUNTIF(E19:AI19, "X")</f>
        <v/>
      </c>
      <c r="AK19" s="15">
        <f>COUNTIF(E19:AI19, "Đ")</f>
        <v/>
      </c>
      <c r="AL19" s="15">
        <f>COUNTIF(E19:AI19, "Ph")</f>
        <v/>
      </c>
      <c r="AM19" s="15">
        <f>COUNTIF(E19:AI19, "L")</f>
        <v/>
      </c>
      <c r="AN19" s="15">
        <f>COUNTIF(E19:AI19, "Kl")</f>
        <v/>
      </c>
      <c r="AO19" s="14" t="n"/>
      <c r="AP19" s="14" t="n"/>
      <c r="AQ19" s="16">
        <f>AJ19+AK19+AL19+AM19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2026-08-26T16:44:17Z</dcterms:created>
  <dcterms:modified xmlns:dcterms="http://purl.org/dc/terms/" xmlns:xsi="http://www.w3.org/2001/XMLSchema-instance" xsi:type="dcterms:W3CDTF">2026-08-26T16:44:17Z</dcterms:modified>
</cp:coreProperties>
</file>