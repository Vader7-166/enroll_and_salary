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Tinh 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2F549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4" customWidth="1" min="11" max="11"/>
    <col width="24" customWidth="1" min="12" max="12"/>
    <col width="30" customWidth="1" min="13" max="13"/>
    <col width="24" customWidth="1" min="14" max="14"/>
    <col width="24" customWidth="1" min="15" max="15"/>
    <col width="26" customWidth="1" min="16" max="16"/>
    <col width="24" customWidth="1" min="17" max="17"/>
    <col width="21" customWidth="1" min="18" max="18"/>
    <col width="32" customWidth="1" min="19" max="19"/>
    <col width="98" customWidth="1" min="20" max="20"/>
    <col width="24" customWidth="1" min="21" max="21"/>
  </cols>
  <sheetData>
    <row r="1">
      <c r="A1" s="1" t="inlineStr">
        <is>
          <t>BẢNG THANH TOÁN TIỀN LƯƠNG TỰ ĐỘNG - KHỐI NHÀ MÁY ĐIỆN TỬ</t>
        </is>
      </c>
    </row>
    <row r="2">
      <c r="A2" s="2" t="inlineStr">
        <is>
          <t>Cập nhật mới nhất năm 2026 - Tích hợp đầy đủ Thuế TNCN &amp; BHXH quy định mới</t>
        </is>
      </c>
    </row>
    <row r="3"/>
    <row r="4" ht="32" customHeight="1">
      <c r="A4" s="3" t="inlineStr">
        <is>
          <t>Mã NV</t>
        </is>
      </c>
      <c r="B4" s="3" t="inlineStr">
        <is>
          <t>Họ và tên</t>
        </is>
      </c>
      <c r="C4" s="3" t="inlineStr">
        <is>
          <t>Phòng ban</t>
        </is>
      </c>
      <c r="D4" s="3" t="inlineStr">
        <is>
          <t>Lương HĐLĐ</t>
        </is>
      </c>
      <c r="E4" s="3" t="inlineStr">
        <is>
          <t>Công chuẩn</t>
        </is>
      </c>
      <c r="F4" s="3" t="inlineStr">
        <is>
          <t>Công thực tế</t>
        </is>
      </c>
      <c r="G4" s="3" t="inlineStr">
        <is>
          <t>Lương thời gian</t>
        </is>
      </c>
      <c r="H4" s="3" t="inlineStr">
        <is>
          <t>Phụ cấp độc hại</t>
        </is>
      </c>
      <c r="I4" s="3" t="inlineStr">
        <is>
          <t>Giờ OT ngày</t>
        </is>
      </c>
      <c r="J4" s="3" t="inlineStr">
        <is>
          <t>Giờ OT đêm</t>
        </is>
      </c>
      <c r="K4" s="3" t="inlineStr">
        <is>
          <t>Thành tiền OT ngày</t>
        </is>
      </c>
      <c r="L4" s="3" t="inlineStr">
        <is>
          <t>Thành tiền OT đêm</t>
        </is>
      </c>
      <c r="M4" s="3" t="inlineStr">
        <is>
          <t>Lương làm ca đêm</t>
        </is>
      </c>
      <c r="N4" s="3" t="inlineStr">
        <is>
          <t>Tổng thu nhập</t>
        </is>
      </c>
      <c r="O4" s="3" t="inlineStr">
        <is>
          <t>Trích đóng BHXH (8%)</t>
        </is>
      </c>
      <c r="P4" s="3" t="inlineStr">
        <is>
          <t>Trích đóng BHYT (1.5%)</t>
        </is>
      </c>
      <c r="Q4" s="3" t="inlineStr">
        <is>
          <t>Trích đóng BHTN (1%)</t>
        </is>
      </c>
      <c r="R4" s="3" t="inlineStr">
        <is>
          <t>Giảm trừ gia cảnh</t>
        </is>
      </c>
      <c r="S4" s="3" t="inlineStr">
        <is>
          <t>Thu nhập tính thuế</t>
        </is>
      </c>
      <c r="T4" s="3" t="inlineStr">
        <is>
          <t>Thuế TNCN khấu trừ</t>
        </is>
      </c>
      <c r="U4" s="3" t="inlineStr">
        <is>
          <t>Thực lĩnh</t>
        </is>
      </c>
    </row>
    <row r="5" ht="22" customHeight="1">
      <c r="A5" s="4" t="inlineStr">
        <is>
          <t>NV001</t>
        </is>
      </c>
      <c r="B5" s="5" t="inlineStr">
        <is>
          <t>Nguyễn Văn A</t>
        </is>
      </c>
      <c r="C5" s="5" t="inlineStr">
        <is>
          <t>Phòng R&amp;D</t>
        </is>
      </c>
      <c r="D5" s="6" t="n">
        <v>15000000</v>
      </c>
      <c r="E5" s="7" t="n">
        <v>26</v>
      </c>
      <c r="F5" s="7" t="n">
        <v>24</v>
      </c>
      <c r="G5" s="8">
        <f>D5*F5/E5</f>
        <v/>
      </c>
      <c r="H5" s="6" t="n">
        <v>500000</v>
      </c>
      <c r="I5" s="7" t="n">
        <v>4</v>
      </c>
      <c r="J5" s="7" t="n">
        <v>0</v>
      </c>
      <c r="K5" s="8">
        <f>(D5/E5/8)*1.5*I5</f>
        <v/>
      </c>
      <c r="L5" s="8">
        <f>(D5/E5/8)*2.1*J5</f>
        <v/>
      </c>
      <c r="M5" s="8">
        <f>(D5/E5/8)*0.3*8*(F5/2)</f>
        <v/>
      </c>
      <c r="N5" s="8">
        <f>G5+H5+K5+L5+M5</f>
        <v/>
      </c>
      <c r="O5" s="8">
        <f>D5*0.08</f>
        <v/>
      </c>
      <c r="P5" s="8">
        <f>D5*0.015</f>
        <v/>
      </c>
      <c r="Q5" s="8">
        <f>D5*0.01</f>
        <v/>
      </c>
      <c r="R5" s="6" t="n">
        <v>11000000</v>
      </c>
      <c r="S5" s="8">
        <f>MAX(0, N5-O5-P5-Q5-R5)</f>
        <v/>
      </c>
      <c r="T5" s="8">
        <f>IF(S5&lt;=0, 0, IF(S5&lt;=5000000, S5*0.05, IF(S5&lt;=10000000, S5*0.1-250000, S5*0.15-750000)))</f>
        <v/>
      </c>
      <c r="U5" s="9">
        <f>N5-O5-P5-Q5-T5</f>
        <v/>
      </c>
    </row>
    <row r="6" ht="22" customHeight="1">
      <c r="A6" s="4" t="inlineStr">
        <is>
          <t>NV002</t>
        </is>
      </c>
      <c r="B6" s="5" t="inlineStr">
        <is>
          <t>Trần Thị B</t>
        </is>
      </c>
      <c r="C6" s="5" t="inlineStr">
        <is>
          <t>Tổ sản xuất A</t>
        </is>
      </c>
      <c r="D6" s="6" t="n">
        <v>7000000</v>
      </c>
      <c r="E6" s="7" t="n">
        <v>26</v>
      </c>
      <c r="F6" s="7" t="n">
        <v>26</v>
      </c>
      <c r="G6" s="8">
        <f>D6*F6/E6</f>
        <v/>
      </c>
      <c r="H6" s="6" t="n">
        <v>1000000</v>
      </c>
      <c r="I6" s="7" t="n">
        <v>10</v>
      </c>
      <c r="J6" s="7" t="n">
        <v>5</v>
      </c>
      <c r="K6" s="8">
        <f>(D6/E6/8)*1.5*I6</f>
        <v/>
      </c>
      <c r="L6" s="8">
        <f>(D6/E6/8)*2.1*J6</f>
        <v/>
      </c>
      <c r="M6" s="8">
        <f>(D6/E6/8)*0.3*8*(F6/2)</f>
        <v/>
      </c>
      <c r="N6" s="8">
        <f>G6+H6+K6+L6+M6</f>
        <v/>
      </c>
      <c r="O6" s="8">
        <f>D6*0.08</f>
        <v/>
      </c>
      <c r="P6" s="8">
        <f>D6*0.015</f>
        <v/>
      </c>
      <c r="Q6" s="8">
        <f>D6*0.01</f>
        <v/>
      </c>
      <c r="R6" s="6" t="n">
        <v>11000000</v>
      </c>
      <c r="S6" s="8">
        <f>MAX(0, N6-O6-P6-Q6-R6)</f>
        <v/>
      </c>
      <c r="T6" s="8">
        <f>IF(S6&lt;=0, 0, IF(S6&lt;=5000000, S6*0.05, IF(S6&lt;=10000000, S6*0.1-250000, S6*0.15-750000)))</f>
        <v/>
      </c>
      <c r="U6" s="9">
        <f>N6-O6-P6-Q6-T6</f>
        <v/>
      </c>
    </row>
    <row r="7" ht="22" customHeight="1">
      <c r="A7" s="4" t="inlineStr">
        <is>
          <t>NV003</t>
        </is>
      </c>
      <c r="B7" s="5" t="inlineStr">
        <is>
          <t>Phạm Văn C</t>
        </is>
      </c>
      <c r="C7" s="5" t="inlineStr">
        <is>
          <t>Tổ SMT</t>
        </is>
      </c>
      <c r="D7" s="6" t="n">
        <v>8000000</v>
      </c>
      <c r="E7" s="7" t="n">
        <v>26</v>
      </c>
      <c r="F7" s="7" t="n">
        <v>25</v>
      </c>
      <c r="G7" s="8">
        <f>D7*F7/E7</f>
        <v/>
      </c>
      <c r="H7" s="6" t="n">
        <v>1000000</v>
      </c>
      <c r="I7" s="7" t="n">
        <v>8</v>
      </c>
      <c r="J7" s="7" t="n">
        <v>8</v>
      </c>
      <c r="K7" s="8">
        <f>(D7/E7/8)*1.5*I7</f>
        <v/>
      </c>
      <c r="L7" s="8">
        <f>(D7/E7/8)*2.1*J7</f>
        <v/>
      </c>
      <c r="M7" s="8">
        <f>(D7/E7/8)*0.3*8*(F7/2)</f>
        <v/>
      </c>
      <c r="N7" s="8">
        <f>G7+H7+K7+L7+M7</f>
        <v/>
      </c>
      <c r="O7" s="8">
        <f>D7*0.08</f>
        <v/>
      </c>
      <c r="P7" s="8">
        <f>D7*0.015</f>
        <v/>
      </c>
      <c r="Q7" s="8">
        <f>D7*0.01</f>
        <v/>
      </c>
      <c r="R7" s="6" t="n">
        <v>11000000</v>
      </c>
      <c r="S7" s="8">
        <f>MAX(0, N7-O7-P7-Q7-R7)</f>
        <v/>
      </c>
      <c r="T7" s="8">
        <f>IF(S7&lt;=0, 0, IF(S7&lt;=5000000, S7*0.05, IF(S7&lt;=10000000, S7*0.1-250000, S7*0.15-750000)))</f>
        <v/>
      </c>
      <c r="U7" s="9">
        <f>N7-O7-P7-Q7-T7</f>
        <v/>
      </c>
    </row>
    <row r="8" ht="22" customHeight="1">
      <c r="A8" s="4" t="inlineStr">
        <is>
          <t>NV004</t>
        </is>
      </c>
      <c r="B8" s="5" t="inlineStr">
        <is>
          <t>Lê Văn D</t>
        </is>
      </c>
      <c r="C8" s="5" t="inlineStr">
        <is>
          <t>Phòng Sản xuất</t>
        </is>
      </c>
      <c r="D8" s="6" t="n">
        <v>18000000</v>
      </c>
      <c r="E8" s="7" t="n">
        <v>26</v>
      </c>
      <c r="F8" s="7" t="n">
        <v>26</v>
      </c>
      <c r="G8" s="8">
        <f>D8*F8/E8</f>
        <v/>
      </c>
      <c r="H8" s="6" t="n">
        <v>500000</v>
      </c>
      <c r="I8" s="7" t="n">
        <v>0</v>
      </c>
      <c r="J8" s="7" t="n">
        <v>0</v>
      </c>
      <c r="K8" s="8">
        <f>(D8/E8/8)*1.5*I8</f>
        <v/>
      </c>
      <c r="L8" s="8">
        <f>(D8/E8/8)*2.1*J8</f>
        <v/>
      </c>
      <c r="M8" s="8">
        <f>(D8/E8/8)*0.3*8*(F8/2)</f>
        <v/>
      </c>
      <c r="N8" s="8">
        <f>G8+H8+K8+L8+M8</f>
        <v/>
      </c>
      <c r="O8" s="8">
        <f>D8*0.08</f>
        <v/>
      </c>
      <c r="P8" s="8">
        <f>D8*0.015</f>
        <v/>
      </c>
      <c r="Q8" s="8">
        <f>D8*0.01</f>
        <v/>
      </c>
      <c r="R8" s="6" t="n">
        <v>11000000</v>
      </c>
      <c r="S8" s="8">
        <f>MAX(0, N8-O8-P8-Q8-R8)</f>
        <v/>
      </c>
      <c r="T8" s="8">
        <f>IF(S8&lt;=0, 0, IF(S8&lt;=5000000, S8*0.05, IF(S8&lt;=10000000, S8*0.1-250000, S8*0.15-750000)))</f>
        <v/>
      </c>
      <c r="U8" s="9">
        <f>N8-O8-P8-Q8-T8</f>
        <v/>
      </c>
    </row>
    <row r="9" ht="22" customHeight="1">
      <c r="A9" s="4" t="inlineStr">
        <is>
          <t>NV005</t>
        </is>
      </c>
      <c r="B9" s="5" t="inlineStr">
        <is>
          <t>Vũ Thị E</t>
        </is>
      </c>
      <c r="C9" s="5" t="inlineStr">
        <is>
          <t>Tổ Đóng gói</t>
        </is>
      </c>
      <c r="D9" s="6" t="n">
        <v>6500000</v>
      </c>
      <c r="E9" s="7" t="n">
        <v>26</v>
      </c>
      <c r="F9" s="7" t="n">
        <v>22</v>
      </c>
      <c r="G9" s="8">
        <f>D9*F9/E9</f>
        <v/>
      </c>
      <c r="H9" s="6" t="n">
        <v>500000</v>
      </c>
      <c r="I9" s="7" t="n">
        <v>5</v>
      </c>
      <c r="J9" s="7" t="n">
        <v>0</v>
      </c>
      <c r="K9" s="8">
        <f>(D9/E9/8)*1.5*I9</f>
        <v/>
      </c>
      <c r="L9" s="8">
        <f>(D9/E9/8)*2.1*J9</f>
        <v/>
      </c>
      <c r="M9" s="8">
        <f>(D9/E9/8)*0.3*8*(F9/2)</f>
        <v/>
      </c>
      <c r="N9" s="8">
        <f>G9+H9+K9+L9+M9</f>
        <v/>
      </c>
      <c r="O9" s="8">
        <f>D9*0.08</f>
        <v/>
      </c>
      <c r="P9" s="8">
        <f>D9*0.015</f>
        <v/>
      </c>
      <c r="Q9" s="8">
        <f>D9*0.01</f>
        <v/>
      </c>
      <c r="R9" s="6" t="n">
        <v>11000000</v>
      </c>
      <c r="S9" s="8">
        <f>MAX(0, N9-O9-P9-Q9-R9)</f>
        <v/>
      </c>
      <c r="T9" s="8">
        <f>IF(S9&lt;=0, 0, IF(S9&lt;=5000000, S9*0.05, IF(S9&lt;=10000000, S9*0.1-250000, S9*0.15-750000)))</f>
        <v/>
      </c>
      <c r="U9" s="9">
        <f>N9-O9-P9-Q9-T9</f>
        <v/>
      </c>
    </row>
    <row r="10" ht="25" customHeight="1">
      <c r="A10" s="10" t="inlineStr">
        <is>
          <t>TỔNG CỘNG</t>
        </is>
      </c>
      <c r="B10" s="11" t="n"/>
      <c r="C10" s="11" t="n"/>
      <c r="D10" s="12">
        <f>SUM(D5:D9)</f>
        <v/>
      </c>
      <c r="E10" s="13">
        <f>AVERAGE(E5:E9)</f>
        <v/>
      </c>
      <c r="F10" s="13">
        <f>AVERAGE(F5:F9)</f>
        <v/>
      </c>
      <c r="G10" s="12">
        <f>SUM(G5:G9)</f>
        <v/>
      </c>
      <c r="H10" s="12">
        <f>SUM(H5:H9)</f>
        <v/>
      </c>
      <c r="I10" s="13">
        <f>AVERAGE(I5:I9)</f>
        <v/>
      </c>
      <c r="J10" s="13">
        <f>AVERAGE(J5:J9)</f>
        <v/>
      </c>
      <c r="K10" s="12">
        <f>SUM(K5:K9)</f>
        <v/>
      </c>
      <c r="L10" s="12">
        <f>SUM(L5:L9)</f>
        <v/>
      </c>
      <c r="M10" s="12">
        <f>SUM(M5:M9)</f>
        <v/>
      </c>
      <c r="N10" s="12">
        <f>SUM(N5:N9)</f>
        <v/>
      </c>
      <c r="O10" s="12">
        <f>SUM(O5:O9)</f>
        <v/>
      </c>
      <c r="P10" s="12">
        <f>SUM(P5:P9)</f>
        <v/>
      </c>
      <c r="Q10" s="12">
        <f>SUM(Q5:Q9)</f>
        <v/>
      </c>
      <c r="R10" s="11" t="n"/>
      <c r="S10" s="12">
        <f>SUM(S5:S9)</f>
        <v/>
      </c>
      <c r="T10" s="12">
        <f>SUM(T5:T9)</f>
        <v/>
      </c>
      <c r="U10" s="12">
        <f>SUM(U5:U9)</f>
        <v/>
      </c>
    </row>
    <row r="11" ht="22" customHeight="1">
      <c r="A11" s="14" t="n"/>
      <c r="B11" s="15" t="n"/>
      <c r="C11" s="15" t="n"/>
      <c r="D11" s="16" t="n"/>
      <c r="E11" s="14" t="n"/>
      <c r="F11" s="14" t="n"/>
      <c r="G11" s="17">
        <f>D11*F11/E11</f>
        <v/>
      </c>
      <c r="H11" s="16" t="n"/>
      <c r="I11" s="14" t="n"/>
      <c r="J11" s="14" t="n"/>
      <c r="K11" s="17">
        <f>(D11/E11/8)*1.5*I11</f>
        <v/>
      </c>
      <c r="L11" s="17">
        <f>(D11/E11/8)*2.1*J11</f>
        <v/>
      </c>
      <c r="M11" s="17">
        <f>(D11/E11/8)*0.3*8*(F11/2)</f>
        <v/>
      </c>
      <c r="N11" s="17">
        <f>G11+H11+K11+L11+M11</f>
        <v/>
      </c>
      <c r="O11" s="17">
        <f>D11*0.08</f>
        <v/>
      </c>
      <c r="P11" s="17">
        <f>D11*0.015</f>
        <v/>
      </c>
      <c r="Q11" s="17">
        <f>D11*0.01</f>
        <v/>
      </c>
      <c r="R11" s="16" t="n"/>
      <c r="S11" s="17">
        <f>MAX(0, N11-O11-P11-Q11-R11)</f>
        <v/>
      </c>
      <c r="T11" s="17">
        <f>IF(S11&lt;=0, 0, IF(S11&lt;=5000000, S11*0.05, IF(S11&lt;=10000000, S11*0.1-250000, S11*0.15-750000)))</f>
        <v/>
      </c>
      <c r="U11" s="18">
        <f>N11-O11-P11-Q11-T11</f>
        <v/>
      </c>
    </row>
    <row r="12" ht="22" customHeight="1">
      <c r="A12" s="14" t="n"/>
      <c r="B12" s="15" t="n"/>
      <c r="C12" s="15" t="n"/>
      <c r="D12" s="16" t="n"/>
      <c r="E12" s="14" t="n"/>
      <c r="F12" s="14" t="n"/>
      <c r="G12" s="17">
        <f>D12*F12/E12</f>
        <v/>
      </c>
      <c r="H12" s="16" t="n"/>
      <c r="I12" s="14" t="n"/>
      <c r="J12" s="14" t="n"/>
      <c r="K12" s="17">
        <f>(D12/E12/8)*1.5*I12</f>
        <v/>
      </c>
      <c r="L12" s="17">
        <f>(D12/E12/8)*2.1*J12</f>
        <v/>
      </c>
      <c r="M12" s="17">
        <f>(D12/E12/8)*0.3*8*(F12/2)</f>
        <v/>
      </c>
      <c r="N12" s="17">
        <f>G12+H12+K12+L12+M12</f>
        <v/>
      </c>
      <c r="O12" s="17">
        <f>D12*0.08</f>
        <v/>
      </c>
      <c r="P12" s="17">
        <f>D12*0.015</f>
        <v/>
      </c>
      <c r="Q12" s="17">
        <f>D12*0.01</f>
        <v/>
      </c>
      <c r="R12" s="16" t="n"/>
      <c r="S12" s="17">
        <f>MAX(0, N12-O12-P12-Q12-R12)</f>
        <v/>
      </c>
      <c r="T12" s="17">
        <f>IF(S12&lt;=0, 0, IF(S12&lt;=5000000, S12*0.05, IF(S12&lt;=10000000, S12*0.1-250000, S12*0.15-750000)))</f>
        <v/>
      </c>
      <c r="U12" s="18">
        <f>N12-O12-P12-Q12-T12</f>
        <v/>
      </c>
    </row>
    <row r="13" ht="22" customHeight="1">
      <c r="A13" s="14" t="n"/>
      <c r="B13" s="15" t="n"/>
      <c r="C13" s="15" t="n"/>
      <c r="D13" s="16" t="n"/>
      <c r="E13" s="14" t="n"/>
      <c r="F13" s="14" t="n"/>
      <c r="G13" s="17">
        <f>D13*F13/E13</f>
        <v/>
      </c>
      <c r="H13" s="16" t="n"/>
      <c r="I13" s="14" t="n"/>
      <c r="J13" s="14" t="n"/>
      <c r="K13" s="17">
        <f>(D13/E13/8)*1.5*I13</f>
        <v/>
      </c>
      <c r="L13" s="17">
        <f>(D13/E13/8)*2.1*J13</f>
        <v/>
      </c>
      <c r="M13" s="17">
        <f>(D13/E13/8)*0.3*8*(F13/2)</f>
        <v/>
      </c>
      <c r="N13" s="17">
        <f>G13+H13+K13+L13+M13</f>
        <v/>
      </c>
      <c r="O13" s="17">
        <f>D13*0.08</f>
        <v/>
      </c>
      <c r="P13" s="17">
        <f>D13*0.015</f>
        <v/>
      </c>
      <c r="Q13" s="17">
        <f>D13*0.01</f>
        <v/>
      </c>
      <c r="R13" s="16" t="n"/>
      <c r="S13" s="17">
        <f>MAX(0, N13-O13-P13-Q13-R13)</f>
        <v/>
      </c>
      <c r="T13" s="17">
        <f>IF(S13&lt;=0, 0, IF(S13&lt;=5000000, S13*0.05, IF(S13&lt;=10000000, S13*0.1-250000, S13*0.15-750000)))</f>
        <v/>
      </c>
      <c r="U13" s="18">
        <f>N13-O13-P13-Q13-T13</f>
        <v/>
      </c>
    </row>
    <row r="14" ht="22" customHeight="1">
      <c r="A14" s="14" t="n"/>
      <c r="B14" s="15" t="n"/>
      <c r="C14" s="15" t="n"/>
      <c r="D14" s="16" t="n"/>
      <c r="E14" s="14" t="n"/>
      <c r="F14" s="14" t="n"/>
      <c r="G14" s="17">
        <f>D14*F14/E14</f>
        <v/>
      </c>
      <c r="H14" s="16" t="n"/>
      <c r="I14" s="14" t="n"/>
      <c r="J14" s="14" t="n"/>
      <c r="K14" s="17">
        <f>(D14/E14/8)*1.5*I14</f>
        <v/>
      </c>
      <c r="L14" s="17">
        <f>(D14/E14/8)*2.1*J14</f>
        <v/>
      </c>
      <c r="M14" s="17">
        <f>(D14/E14/8)*0.3*8*(F14/2)</f>
        <v/>
      </c>
      <c r="N14" s="17">
        <f>G14+H14+K14+L14+M14</f>
        <v/>
      </c>
      <c r="O14" s="17">
        <f>D14*0.08</f>
        <v/>
      </c>
      <c r="P14" s="17">
        <f>D14*0.015</f>
        <v/>
      </c>
      <c r="Q14" s="17">
        <f>D14*0.01</f>
        <v/>
      </c>
      <c r="R14" s="16" t="n"/>
      <c r="S14" s="17">
        <f>MAX(0, N14-O14-P14-Q14-R14)</f>
        <v/>
      </c>
      <c r="T14" s="17">
        <f>IF(S14&lt;=0, 0, IF(S14&lt;=5000000, S14*0.05, IF(S14&lt;=10000000, S14*0.1-250000, S14*0.15-750000)))</f>
        <v/>
      </c>
      <c r="U14" s="18">
        <f>N14-O14-P14-Q14-T14</f>
        <v/>
      </c>
    </row>
    <row r="15" ht="22" customHeight="1">
      <c r="A15" s="14" t="n"/>
      <c r="B15" s="15" t="n"/>
      <c r="C15" s="15" t="n"/>
      <c r="D15" s="16" t="n"/>
      <c r="E15" s="14" t="n"/>
      <c r="F15" s="14" t="n"/>
      <c r="G15" s="17">
        <f>D15*F15/E15</f>
        <v/>
      </c>
      <c r="H15" s="16" t="n"/>
      <c r="I15" s="14" t="n"/>
      <c r="J15" s="14" t="n"/>
      <c r="K15" s="17">
        <f>(D15/E15/8)*1.5*I15</f>
        <v/>
      </c>
      <c r="L15" s="17">
        <f>(D15/E15/8)*2.1*J15</f>
        <v/>
      </c>
      <c r="M15" s="17">
        <f>(D15/E15/8)*0.3*8*(F15/2)</f>
        <v/>
      </c>
      <c r="N15" s="17">
        <f>G15+H15+K15+L15+M15</f>
        <v/>
      </c>
      <c r="O15" s="17">
        <f>D15*0.08</f>
        <v/>
      </c>
      <c r="P15" s="17">
        <f>D15*0.015</f>
        <v/>
      </c>
      <c r="Q15" s="17">
        <f>D15*0.01</f>
        <v/>
      </c>
      <c r="R15" s="16" t="n"/>
      <c r="S15" s="17">
        <f>MAX(0, N15-O15-P15-Q15-R15)</f>
        <v/>
      </c>
      <c r="T15" s="17">
        <f>IF(S15&lt;=0, 0, IF(S15&lt;=5000000, S15*0.05, IF(S15&lt;=10000000, S15*0.1-250000, S15*0.15-750000)))</f>
        <v/>
      </c>
      <c r="U15" s="18">
        <f>N15-O15-P15-Q15-T15</f>
        <v/>
      </c>
    </row>
    <row r="16" ht="22" customHeight="1">
      <c r="A16" s="14" t="n"/>
      <c r="B16" s="15" t="n"/>
      <c r="C16" s="15" t="n"/>
      <c r="D16" s="16" t="n"/>
      <c r="E16" s="14" t="n"/>
      <c r="F16" s="14" t="n"/>
      <c r="G16" s="17">
        <f>D16*F16/E16</f>
        <v/>
      </c>
      <c r="H16" s="16" t="n"/>
      <c r="I16" s="14" t="n"/>
      <c r="J16" s="14" t="n"/>
      <c r="K16" s="17">
        <f>(D16/E16/8)*1.5*I16</f>
        <v/>
      </c>
      <c r="L16" s="17">
        <f>(D16/E16/8)*2.1*J16</f>
        <v/>
      </c>
      <c r="M16" s="17">
        <f>(D16/E16/8)*0.3*8*(F16/2)</f>
        <v/>
      </c>
      <c r="N16" s="17">
        <f>G16+H16+K16+L16+M16</f>
        <v/>
      </c>
      <c r="O16" s="17">
        <f>D16*0.08</f>
        <v/>
      </c>
      <c r="P16" s="17">
        <f>D16*0.015</f>
        <v/>
      </c>
      <c r="Q16" s="17">
        <f>D16*0.01</f>
        <v/>
      </c>
      <c r="R16" s="16" t="n"/>
      <c r="S16" s="17">
        <f>MAX(0, N16-O16-P16-Q16-R16)</f>
        <v/>
      </c>
      <c r="T16" s="17">
        <f>IF(S16&lt;=0, 0, IF(S16&lt;=5000000, S16*0.05, IF(S16&lt;=10000000, S16*0.1-250000, S16*0.15-750000)))</f>
        <v/>
      </c>
      <c r="U16" s="18">
        <f>N16-O16-P16-Q16-T16</f>
        <v/>
      </c>
    </row>
    <row r="17" ht="22" customHeight="1">
      <c r="A17" s="14" t="n"/>
      <c r="B17" s="15" t="n"/>
      <c r="C17" s="15" t="n"/>
      <c r="D17" s="16" t="n"/>
      <c r="E17" s="14" t="n"/>
      <c r="F17" s="14" t="n"/>
      <c r="G17" s="17">
        <f>D17*F17/E17</f>
        <v/>
      </c>
      <c r="H17" s="16" t="n"/>
      <c r="I17" s="14" t="n"/>
      <c r="J17" s="14" t="n"/>
      <c r="K17" s="17">
        <f>(D17/E17/8)*1.5*I17</f>
        <v/>
      </c>
      <c r="L17" s="17">
        <f>(D17/E17/8)*2.1*J17</f>
        <v/>
      </c>
      <c r="M17" s="17">
        <f>(D17/E17/8)*0.3*8*(F17/2)</f>
        <v/>
      </c>
      <c r="N17" s="17">
        <f>G17+H17+K17+L17+M17</f>
        <v/>
      </c>
      <c r="O17" s="17">
        <f>D17*0.08</f>
        <v/>
      </c>
      <c r="P17" s="17">
        <f>D17*0.015</f>
        <v/>
      </c>
      <c r="Q17" s="17">
        <f>D17*0.01</f>
        <v/>
      </c>
      <c r="R17" s="16" t="n"/>
      <c r="S17" s="17">
        <f>MAX(0, N17-O17-P17-Q17-R17)</f>
        <v/>
      </c>
      <c r="T17" s="17">
        <f>IF(S17&lt;=0, 0, IF(S17&lt;=5000000, S17*0.05, IF(S17&lt;=10000000, S17*0.1-250000, S17*0.15-750000)))</f>
        <v/>
      </c>
      <c r="U17" s="18">
        <f>N17-O17-P17-Q17-T17</f>
        <v/>
      </c>
    </row>
    <row r="18" ht="22" customHeight="1">
      <c r="A18" s="14" t="n"/>
      <c r="B18" s="15" t="n"/>
      <c r="C18" s="15" t="n"/>
      <c r="D18" s="16" t="n"/>
      <c r="E18" s="14" t="n"/>
      <c r="F18" s="14" t="n"/>
      <c r="G18" s="17">
        <f>D18*F18/E18</f>
        <v/>
      </c>
      <c r="H18" s="16" t="n"/>
      <c r="I18" s="14" t="n"/>
      <c r="J18" s="14" t="n"/>
      <c r="K18" s="17">
        <f>(D18/E18/8)*1.5*I18</f>
        <v/>
      </c>
      <c r="L18" s="17">
        <f>(D18/E18/8)*2.1*J18</f>
        <v/>
      </c>
      <c r="M18" s="17">
        <f>(D18/E18/8)*0.3*8*(F18/2)</f>
        <v/>
      </c>
      <c r="N18" s="17">
        <f>G18+H18+K18+L18+M18</f>
        <v/>
      </c>
      <c r="O18" s="17">
        <f>D18*0.08</f>
        <v/>
      </c>
      <c r="P18" s="17">
        <f>D18*0.015</f>
        <v/>
      </c>
      <c r="Q18" s="17">
        <f>D18*0.01</f>
        <v/>
      </c>
      <c r="R18" s="16" t="n"/>
      <c r="S18" s="17">
        <f>MAX(0, N18-O18-P18-Q18-R18)</f>
        <v/>
      </c>
      <c r="T18" s="17">
        <f>IF(S18&lt;=0, 0, IF(S18&lt;=5000000, S18*0.05, IF(S18&lt;=10000000, S18*0.1-250000, S18*0.15-750000)))</f>
        <v/>
      </c>
      <c r="U18" s="18">
        <f>N18-O18-P18-Q18-T18</f>
        <v/>
      </c>
    </row>
    <row r="19" ht="22" customHeight="1">
      <c r="A19" s="14" t="n"/>
      <c r="B19" s="15" t="n"/>
      <c r="C19" s="15" t="n"/>
      <c r="D19" s="16" t="n"/>
      <c r="E19" s="14" t="n"/>
      <c r="F19" s="14" t="n"/>
      <c r="G19" s="17">
        <f>D19*F19/E19</f>
        <v/>
      </c>
      <c r="H19" s="16" t="n"/>
      <c r="I19" s="14" t="n"/>
      <c r="J19" s="14" t="n"/>
      <c r="K19" s="17">
        <f>(D19/E19/8)*1.5*I19</f>
        <v/>
      </c>
      <c r="L19" s="17">
        <f>(D19/E19/8)*2.1*J19</f>
        <v/>
      </c>
      <c r="M19" s="17">
        <f>(D19/E19/8)*0.3*8*(F19/2)</f>
        <v/>
      </c>
      <c r="N19" s="17">
        <f>G19+H19+K19+L19+M19</f>
        <v/>
      </c>
      <c r="O19" s="17">
        <f>D19*0.08</f>
        <v/>
      </c>
      <c r="P19" s="17">
        <f>D19*0.015</f>
        <v/>
      </c>
      <c r="Q19" s="17">
        <f>D19*0.01</f>
        <v/>
      </c>
      <c r="R19" s="16" t="n"/>
      <c r="S19" s="17">
        <f>MAX(0, N19-O19-P19-Q19-R19)</f>
        <v/>
      </c>
      <c r="T19" s="17">
        <f>IF(S19&lt;=0, 0, IF(S19&lt;=5000000, S19*0.05, IF(S19&lt;=10000000, S19*0.1-250000, S19*0.15-750000)))</f>
        <v/>
      </c>
      <c r="U19" s="18">
        <f>N19-O19-P19-Q19-T19</f>
        <v/>
      </c>
    </row>
    <row r="20" ht="22" customHeight="1">
      <c r="A20" s="14" t="n"/>
      <c r="B20" s="15" t="n"/>
      <c r="C20" s="15" t="n"/>
      <c r="D20" s="16" t="n"/>
      <c r="E20" s="14" t="n"/>
      <c r="F20" s="14" t="n"/>
      <c r="G20" s="17">
        <f>D20*F20/E20</f>
        <v/>
      </c>
      <c r="H20" s="16" t="n"/>
      <c r="I20" s="14" t="n"/>
      <c r="J20" s="14" t="n"/>
      <c r="K20" s="17">
        <f>(D20/E20/8)*1.5*I20</f>
        <v/>
      </c>
      <c r="L20" s="17">
        <f>(D20/E20/8)*2.1*J20</f>
        <v/>
      </c>
      <c r="M20" s="17">
        <f>(D20/E20/8)*0.3*8*(F20/2)</f>
        <v/>
      </c>
      <c r="N20" s="17">
        <f>G20+H20+K20+L20+M20</f>
        <v/>
      </c>
      <c r="O20" s="17">
        <f>D20*0.08</f>
        <v/>
      </c>
      <c r="P20" s="17">
        <f>D20*0.015</f>
        <v/>
      </c>
      <c r="Q20" s="17">
        <f>D20*0.01</f>
        <v/>
      </c>
      <c r="R20" s="16" t="n"/>
      <c r="S20" s="17">
        <f>MAX(0, N20-O20-P20-Q20-R20)</f>
        <v/>
      </c>
      <c r="T20" s="17">
        <f>IF(S20&lt;=0, 0, IF(S20&lt;=5000000, S20*0.05, IF(S20&lt;=10000000, S20*0.1-250000, S20*0.15-750000)))</f>
        <v/>
      </c>
      <c r="U20" s="18">
        <f>N20-O20-P20-Q20-T20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2026-08-26T16:44:17Z</dcterms:created>
  <dcterms:modified xmlns:dcterms="http://purl.org/dc/terms/" xmlns:xsi="http://www.w3.org/2001/XMLSchema-instance" xsi:type="dcterms:W3CDTF">2026-08-26T16:44:18Z</dcterms:modified>
</cp:coreProperties>
</file>